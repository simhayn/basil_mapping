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\Documents\mydata\denovo basil\"/>
    </mc:Choice>
  </mc:AlternateContent>
  <xr:revisionPtr revIDLastSave="0" documentId="13_ncr:1_{A7D2697C-6895-4270-8A86-BB3735DB597C}" xr6:coauthVersionLast="45" xr6:coauthVersionMax="45" xr10:uidLastSave="{00000000-0000-0000-0000-000000000000}"/>
  <bookViews>
    <workbookView xWindow="3240" yWindow="3045" windowWidth="15375" windowHeight="7875" xr2:uid="{E8425CED-BC66-4579-AA12-79D12748568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<sst xmlns="http://schemas.openxmlformats.org/spreadsheetml/2006/main" count="465" uniqueCount="125">
  <si>
    <t xml:space="preserve">                fitqtl summary</t>
  </si>
  <si>
    <t xml:space="preserve">Method: Haley-Knott regression </t>
  </si>
  <si>
    <t>Model:  normal phenotype</t>
  </si>
  <si>
    <t xml:space="preserve">Number of observations : 149 </t>
  </si>
  <si>
    <t>Full model result</t>
  </si>
  <si>
    <t xml:space="preserve">----------------------------------  </t>
  </si>
  <si>
    <t xml:space="preserve">Model formula: y ~ Q1 + Q2 + Q3 + Q4 + Q5 </t>
  </si>
  <si>
    <t xml:space="preserve">Drop one QTL at a time ANOVA table: </t>
  </si>
  <si>
    <t>---</t>
  </si>
  <si>
    <t>Signif. codes:  0 ‘***’ 0.001 ‘**’ 0.01 ‘*’ 0.05 ‘.’ 0.1 ‘ ’ 1</t>
  </si>
  <si>
    <t>$AFF</t>
  </si>
  <si>
    <t>$AFS</t>
  </si>
  <si>
    <t>$AFL</t>
  </si>
  <si>
    <t xml:space="preserve">Model formula: y ~ Q1 + Q2 + Q3 + Q4 + Q5 + Q6 </t>
  </si>
  <si>
    <t>$AG</t>
  </si>
  <si>
    <t xml:space="preserve">Model formula: y ~ Q1 + Q2 + Q3 </t>
  </si>
  <si>
    <t>$AYS</t>
  </si>
  <si>
    <t xml:space="preserve">Model formula: y ~ Q1 </t>
  </si>
  <si>
    <t>$AYL</t>
  </si>
  <si>
    <t>$FOB2</t>
  </si>
  <si>
    <t xml:space="preserve">Number of observations : 118 </t>
  </si>
  <si>
    <t>$FOB3</t>
  </si>
  <si>
    <t>$F_AUDPC</t>
  </si>
  <si>
    <t>df</t>
  </si>
  <si>
    <t>SS</t>
  </si>
  <si>
    <t>MS</t>
  </si>
  <si>
    <t>LOD</t>
  </si>
  <si>
    <t>%var</t>
  </si>
  <si>
    <t>Pvalue(Chi2)</t>
  </si>
  <si>
    <t>Pvalue(F)</t>
  </si>
  <si>
    <t>Model</t>
  </si>
  <si>
    <t>Error</t>
  </si>
  <si>
    <t>Total</t>
  </si>
  <si>
    <t>Type</t>
  </si>
  <si>
    <t>III SS</t>
  </si>
  <si>
    <t>F</t>
  </si>
  <si>
    <t>value</t>
  </si>
  <si>
    <t>LG13@0.4</t>
  </si>
  <si>
    <t>**</t>
  </si>
  <si>
    <t>LG14@12.0</t>
  </si>
  <si>
    <t>***</t>
  </si>
  <si>
    <t>LG19@34.2</t>
  </si>
  <si>
    <t>*</t>
  </si>
  <si>
    <t>LG20@24.0</t>
  </si>
  <si>
    <t>LG13@0.0</t>
  </si>
  <si>
    <t>LG20@26.0</t>
  </si>
  <si>
    <t>LG24@30.0</t>
  </si>
  <si>
    <t>LG14@10.0</t>
  </si>
  <si>
    <t>LG16@34.0</t>
  </si>
  <si>
    <t>.</t>
  </si>
  <si>
    <t>LG19@34.0</t>
  </si>
  <si>
    <t>LG6@28.0</t>
  </si>
  <si>
    <t>LG17@15.5</t>
  </si>
  <si>
    <t>LG25@7.9</t>
  </si>
  <si>
    <t>Estimated effects:</t>
  </si>
  <si>
    <t>-----------------</t>
  </si>
  <si>
    <t>$FOB3_bin</t>
  </si>
  <si>
    <t>Model:  binary phenotype</t>
  </si>
  <si>
    <t>$BDM</t>
  </si>
  <si>
    <t>est</t>
  </si>
  <si>
    <t>SE</t>
  </si>
  <si>
    <t>t</t>
  </si>
  <si>
    <t>Intercept</t>
  </si>
  <si>
    <t>LG13@0.4a</t>
  </si>
  <si>
    <t>LG13@0.4d</t>
  </si>
  <si>
    <t>LG14@12.0a</t>
  </si>
  <si>
    <t>LG14@12.0d</t>
  </si>
  <si>
    <t>LG19@34.2a</t>
  </si>
  <si>
    <t>LG19@34.2d</t>
  </si>
  <si>
    <t>LG20@26.0a</t>
  </si>
  <si>
    <t>LG20@26.0d</t>
  </si>
  <si>
    <t>LG24@30.0a</t>
  </si>
  <si>
    <t>LG24@30.0d</t>
  </si>
  <si>
    <t>LG13@0.0a</t>
  </si>
  <si>
    <t>LG13@0.0d</t>
  </si>
  <si>
    <t>LG14@10.0a</t>
  </si>
  <si>
    <t>LG14@10.0d</t>
  </si>
  <si>
    <t>LG16@34.0a</t>
  </si>
  <si>
    <t>LG16@34.0d</t>
  </si>
  <si>
    <t>LG20@24.0a</t>
  </si>
  <si>
    <t>LG20@24.0d</t>
  </si>
  <si>
    <t>LG19@34.0a</t>
  </si>
  <si>
    <t>LG19@34.0d</t>
  </si>
  <si>
    <t>LG19@40.0a</t>
  </si>
  <si>
    <t>LG19@40.0d</t>
  </si>
  <si>
    <t>LG19@38.0a</t>
  </si>
  <si>
    <t>LG19@38.0d</t>
  </si>
  <si>
    <t>LG25@6.6a</t>
  </si>
  <si>
    <t>LG25@6.6d</t>
  </si>
  <si>
    <t>LG6@28.0a</t>
  </si>
  <si>
    <t>LG6@28.0d</t>
  </si>
  <si>
    <t>LG17@15.5a</t>
  </si>
  <si>
    <t>LG17@15.5d</t>
  </si>
  <si>
    <t>LG25@7.9a</t>
  </si>
  <si>
    <t>LG25@7.9d</t>
  </si>
  <si>
    <t>LG6@30.0</t>
  </si>
  <si>
    <t>LG25@6.6</t>
  </si>
  <si>
    <t>LG25@21.0</t>
  </si>
  <si>
    <t>LG6@30.0a</t>
  </si>
  <si>
    <t>LG6@30.0d</t>
  </si>
  <si>
    <t>LG25@21.0a</t>
  </si>
  <si>
    <t>LG25@21.0d</t>
  </si>
  <si>
    <t>LG6@20.9</t>
  </si>
  <si>
    <t>LG19@8.4</t>
  </si>
  <si>
    <t>LG6@10.1</t>
  </si>
  <si>
    <t>LG6@20.9a</t>
  </si>
  <si>
    <t>LG6@20.9d</t>
  </si>
  <si>
    <t>LG19@8.4a</t>
  </si>
  <si>
    <t>LG19@8.4d</t>
  </si>
  <si>
    <t>LG6@10.1a</t>
  </si>
  <si>
    <t>LG6@10.1d</t>
  </si>
  <si>
    <t>overall fit of the model table</t>
  </si>
  <si>
    <t>percent of the phenotype variance explained by the QTL</t>
  </si>
  <si>
    <t>additive effect of the QTL</t>
  </si>
  <si>
    <t>dominance effect of the QTL</t>
  </si>
  <si>
    <t>est/SE</t>
  </si>
  <si>
    <t>additive effect for all the QTL</t>
  </si>
  <si>
    <t>strength of QTL detection</t>
  </si>
  <si>
    <t>the influence of that QTL on the phenotype</t>
  </si>
  <si>
    <t>pointwise and do not account for the scan across the genome</t>
  </si>
  <si>
    <t xml:space="preserve">Number of observations : </t>
  </si>
  <si>
    <t>The PVEs can sum to &gt; 100% when the genotypes at the individual QTL are not exactly uncorrelated in the observed data, there's a dependence among genotypes</t>
  </si>
  <si>
    <t>^ relative to the null model (with no QTL)</t>
  </si>
  <si>
    <t>F value</t>
  </si>
  <si>
    <t>Type III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</si>
</sst>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9F2B-3912-42BF-8309-7B20F348DCF5}">
  <dimension ref="A1:K399"/>
  <sheetViews>
    <sheetView tabSelected="1" topLeftCell="A346" workbookViewId="0">
      <selection activeCell="D347" sqref="D345:D347"/>
    </sheetView>
  </sheetViews>
  <sheetFormatPr defaultRowHeight="14.25" x14ac:dyDescent="0.2"/>
  <cols>
    <col min="1" max="1" width="13.125" customWidth="1"/>
  </cols>
  <sheetData>
    <row r="1" spans="1:8" x14ac:dyDescent="0.2">
      <c r="A1" t="s">
        <v>10</v>
      </c>
    </row>
    <row r="3" spans="1:8" x14ac:dyDescent="0.2">
      <c r="A3" t="s">
        <v>0</v>
      </c>
    </row>
    <row r="5" spans="1:8" x14ac:dyDescent="0.2">
      <c r="A5" t="s">
        <v>1</v>
      </c>
    </row>
    <row r="6" spans="1:8" x14ac:dyDescent="0.2">
      <c r="A6" t="s">
        <v>2</v>
      </c>
    </row>
    <row r="7" spans="1:8" x14ac:dyDescent="0.2">
      <c r="A7" t="s">
        <v>120</v>
      </c>
      <c r="C7">
        <v>149</v>
      </c>
    </row>
    <row r="9" spans="1:8" x14ac:dyDescent="0.2">
      <c r="A9" t="s">
        <v>4</v>
      </c>
    </row>
    <row r="10" spans="1:8" x14ac:dyDescent="0.2">
      <c r="A10" t="s">
        <v>5</v>
      </c>
    </row>
    <row r="11" spans="1:8" x14ac:dyDescent="0.2">
      <c r="A11" t="s">
        <v>6</v>
      </c>
    </row>
    <row r="12" spans="1:8" x14ac:dyDescent="0.2">
      <c r="A12" s="2" t="s">
        <v>111</v>
      </c>
      <c r="H12" s="2" t="s">
        <v>119</v>
      </c>
    </row>
    <row r="13" spans="1:8" x14ac:dyDescent="0.2">
      <c r="B13" t="s">
        <v>23</v>
      </c>
      <c r="C13" t="s">
        <v>24</v>
      </c>
      <c r="D13" t="s">
        <v>25</v>
      </c>
      <c r="E13" s="4" t="s">
        <v>26</v>
      </c>
      <c r="F13" t="s">
        <v>27</v>
      </c>
      <c r="G13" t="s">
        <v>28</v>
      </c>
      <c r="H13" s="4" t="s">
        <v>29</v>
      </c>
    </row>
    <row r="14" spans="1:8" x14ac:dyDescent="0.2">
      <c r="A14" t="s">
        <v>30</v>
      </c>
      <c r="B14">
        <v>10</v>
      </c>
      <c r="C14">
        <v>129.9272</v>
      </c>
      <c r="D14">
        <v>12.992721</v>
      </c>
      <c r="E14" s="4">
        <v>13.65775</v>
      </c>
      <c r="F14">
        <v>34.434640000000002</v>
      </c>
      <c r="G14" s="1">
        <v>1.021804E-9</v>
      </c>
      <c r="H14" s="1">
        <v>3.8350789999999996E-9</v>
      </c>
    </row>
    <row r="15" spans="1:8" x14ac:dyDescent="0.2">
      <c r="A15" t="s">
        <v>31</v>
      </c>
      <c r="B15">
        <v>138</v>
      </c>
      <c r="C15">
        <v>247.38820000000001</v>
      </c>
      <c r="D15">
        <v>1.7926679999999999</v>
      </c>
      <c r="E15" s="3" t="s">
        <v>122</v>
      </c>
    </row>
    <row r="16" spans="1:8" x14ac:dyDescent="0.2">
      <c r="A16" t="s">
        <v>32</v>
      </c>
      <c r="B16">
        <v>148</v>
      </c>
      <c r="C16">
        <v>377.31540000000001</v>
      </c>
      <c r="E16">
        <f>100*( 1 - 10^(-2*E14 / C7) )</f>
        <v>34.434632978413994</v>
      </c>
    </row>
    <row r="19" spans="1:11" x14ac:dyDescent="0.2">
      <c r="A19" t="s">
        <v>7</v>
      </c>
      <c r="F19" s="2" t="s">
        <v>118</v>
      </c>
    </row>
    <row r="20" spans="1:11" x14ac:dyDescent="0.2">
      <c r="A20" t="s">
        <v>5</v>
      </c>
      <c r="E20" s="2" t="s">
        <v>117</v>
      </c>
      <c r="F20" s="2" t="s">
        <v>112</v>
      </c>
      <c r="J20" s="2" t="s">
        <v>119</v>
      </c>
    </row>
    <row r="21" spans="1:11" x14ac:dyDescent="0.2">
      <c r="B21" t="s">
        <v>23</v>
      </c>
      <c r="C21" t="s">
        <v>33</v>
      </c>
      <c r="D21" t="s">
        <v>34</v>
      </c>
      <c r="E21" s="4" t="s">
        <v>26</v>
      </c>
      <c r="F21" s="4" t="s">
        <v>27</v>
      </c>
      <c r="G21" t="s">
        <v>35</v>
      </c>
      <c r="H21" t="s">
        <v>36</v>
      </c>
      <c r="I21" t="s">
        <v>28</v>
      </c>
      <c r="J21" s="4" t="s">
        <v>29</v>
      </c>
    </row>
    <row r="22" spans="1:11" x14ac:dyDescent="0.2">
      <c r="A22" t="s">
        <v>37</v>
      </c>
      <c r="B22">
        <v>2</v>
      </c>
      <c r="D22">
        <v>23.59</v>
      </c>
      <c r="E22">
        <v>2.9470000000000001</v>
      </c>
      <c r="F22" s="5">
        <v>6.2519999999999998</v>
      </c>
      <c r="H22">
        <v>6.58</v>
      </c>
      <c r="I22">
        <v>1E-3</v>
      </c>
      <c r="J22">
        <v>1.8600000000000001E-3</v>
      </c>
      <c r="K22" t="s">
        <v>38</v>
      </c>
    </row>
    <row r="23" spans="1:11" x14ac:dyDescent="0.2">
      <c r="A23" t="s">
        <v>39</v>
      </c>
      <c r="B23">
        <v>2</v>
      </c>
      <c r="D23">
        <v>31.59</v>
      </c>
      <c r="E23">
        <v>3.8879999999999999</v>
      </c>
      <c r="F23" s="5">
        <v>8.3729999999999993</v>
      </c>
      <c r="H23">
        <v>8.8109999999999999</v>
      </c>
      <c r="I23">
        <v>0</v>
      </c>
      <c r="J23">
        <v>2.5000000000000001E-4</v>
      </c>
      <c r="K23" t="s">
        <v>40</v>
      </c>
    </row>
    <row r="24" spans="1:11" x14ac:dyDescent="0.2">
      <c r="A24" t="s">
        <v>41</v>
      </c>
      <c r="B24">
        <v>2</v>
      </c>
      <c r="D24">
        <v>13.68</v>
      </c>
      <c r="E24">
        <v>1.7410000000000001</v>
      </c>
      <c r="F24" s="5">
        <v>3.6240000000000001</v>
      </c>
      <c r="H24">
        <v>3.8140000000000001</v>
      </c>
      <c r="I24">
        <v>1.7999999999999999E-2</v>
      </c>
      <c r="J24">
        <v>2.4410000000000001E-2</v>
      </c>
      <c r="K24" t="s">
        <v>42</v>
      </c>
    </row>
    <row r="25" spans="1:11" x14ac:dyDescent="0.2">
      <c r="A25" t="s">
        <v>45</v>
      </c>
      <c r="B25">
        <v>2</v>
      </c>
      <c r="D25">
        <v>28.08</v>
      </c>
      <c r="E25">
        <v>3.4780000000000002</v>
      </c>
      <c r="F25" s="5">
        <v>7.4420000000000002</v>
      </c>
      <c r="H25">
        <v>7.8310000000000004</v>
      </c>
      <c r="I25">
        <v>0</v>
      </c>
      <c r="J25">
        <v>5.9999999999999995E-4</v>
      </c>
      <c r="K25" t="s">
        <v>40</v>
      </c>
    </row>
    <row r="26" spans="1:11" x14ac:dyDescent="0.2">
      <c r="A26" t="s">
        <v>46</v>
      </c>
      <c r="B26">
        <v>2</v>
      </c>
      <c r="D26">
        <v>15.85</v>
      </c>
      <c r="E26">
        <v>2.0089999999999999</v>
      </c>
      <c r="F26" s="5">
        <v>4.2</v>
      </c>
      <c r="H26">
        <v>4.42</v>
      </c>
      <c r="I26">
        <v>0.01</v>
      </c>
      <c r="J26">
        <v>1.3780000000000001E-2</v>
      </c>
      <c r="K26" t="s">
        <v>42</v>
      </c>
    </row>
    <row r="27" spans="1:11" x14ac:dyDescent="0.2">
      <c r="A27" t="s">
        <v>8</v>
      </c>
      <c r="F27" s="2" t="s">
        <v>121</v>
      </c>
    </row>
    <row r="28" spans="1:11" x14ac:dyDescent="0.2">
      <c r="A28" t="s">
        <v>9</v>
      </c>
    </row>
    <row r="31" spans="1:11" x14ac:dyDescent="0.2">
      <c r="A31" t="s">
        <v>54</v>
      </c>
    </row>
    <row r="32" spans="1:11" x14ac:dyDescent="0.2">
      <c r="A32" t="s">
        <v>55</v>
      </c>
      <c r="B32" s="2" t="s">
        <v>116</v>
      </c>
      <c r="D32" s="2" t="s">
        <v>115</v>
      </c>
    </row>
    <row r="33" spans="1:8" x14ac:dyDescent="0.2">
      <c r="B33" s="4" t="s">
        <v>59</v>
      </c>
      <c r="C33" t="s">
        <v>60</v>
      </c>
      <c r="D33" s="4" t="s">
        <v>61</v>
      </c>
    </row>
    <row r="34" spans="1:8" x14ac:dyDescent="0.2">
      <c r="A34" t="s">
        <v>62</v>
      </c>
      <c r="B34">
        <v>2.09856</v>
      </c>
      <c r="C34">
        <v>0.11345</v>
      </c>
      <c r="D34">
        <v>18.497</v>
      </c>
    </row>
    <row r="35" spans="1:8" x14ac:dyDescent="0.2">
      <c r="A35" s="4" t="s">
        <v>63</v>
      </c>
      <c r="B35">
        <v>0.47991</v>
      </c>
      <c r="C35">
        <v>0.16158</v>
      </c>
      <c r="D35">
        <v>2.97</v>
      </c>
      <c r="E35" s="2" t="s">
        <v>113</v>
      </c>
    </row>
    <row r="36" spans="1:8" x14ac:dyDescent="0.2">
      <c r="A36" s="4" t="s">
        <v>64</v>
      </c>
      <c r="B36">
        <v>-0.52841000000000005</v>
      </c>
      <c r="C36">
        <v>0.22494</v>
      </c>
      <c r="D36">
        <v>-2.3490000000000002</v>
      </c>
      <c r="E36" s="2" t="s">
        <v>114</v>
      </c>
    </row>
    <row r="37" spans="1:8" x14ac:dyDescent="0.2">
      <c r="A37" t="s">
        <v>65</v>
      </c>
      <c r="B37">
        <v>-0.59555000000000002</v>
      </c>
      <c r="C37">
        <v>0.15523000000000001</v>
      </c>
      <c r="D37">
        <v>-3.8370000000000002</v>
      </c>
    </row>
    <row r="38" spans="1:8" x14ac:dyDescent="0.2">
      <c r="A38" t="s">
        <v>66</v>
      </c>
      <c r="B38">
        <v>-0.32546999999999998</v>
      </c>
      <c r="C38">
        <v>0.23249</v>
      </c>
      <c r="D38">
        <v>-1.4</v>
      </c>
    </row>
    <row r="39" spans="1:8" x14ac:dyDescent="0.2">
      <c r="A39" t="s">
        <v>67</v>
      </c>
      <c r="B39">
        <v>0.42254000000000003</v>
      </c>
      <c r="C39">
        <v>0.15301000000000001</v>
      </c>
      <c r="D39">
        <v>2.762</v>
      </c>
    </row>
    <row r="40" spans="1:8" x14ac:dyDescent="0.2">
      <c r="A40" t="s">
        <v>68</v>
      </c>
      <c r="B40">
        <v>3.1150000000000001E-2</v>
      </c>
      <c r="C40">
        <v>0.23057</v>
      </c>
      <c r="D40">
        <v>0.13500000000000001</v>
      </c>
    </row>
    <row r="41" spans="1:8" x14ac:dyDescent="0.2">
      <c r="A41" t="s">
        <v>69</v>
      </c>
      <c r="B41">
        <v>0.22750000000000001</v>
      </c>
      <c r="C41">
        <v>0.16192000000000001</v>
      </c>
      <c r="D41">
        <v>1.405</v>
      </c>
    </row>
    <row r="42" spans="1:8" x14ac:dyDescent="0.2">
      <c r="A42" t="s">
        <v>70</v>
      </c>
      <c r="B42">
        <v>0.87724999999999997</v>
      </c>
      <c r="C42">
        <v>0.24198</v>
      </c>
      <c r="D42">
        <v>3.625</v>
      </c>
    </row>
    <row r="43" spans="1:8" x14ac:dyDescent="0.2">
      <c r="A43" t="s">
        <v>71</v>
      </c>
      <c r="B43">
        <v>-2.2499999999999998E-3</v>
      </c>
      <c r="C43">
        <v>0.17215</v>
      </c>
      <c r="D43">
        <v>-1.2999999999999999E-2</v>
      </c>
    </row>
    <row r="44" spans="1:8" x14ac:dyDescent="0.2">
      <c r="A44" t="s">
        <v>72</v>
      </c>
      <c r="B44">
        <v>0.74029999999999996</v>
      </c>
      <c r="C44">
        <v>0.24973999999999999</v>
      </c>
      <c r="D44">
        <v>2.964</v>
      </c>
      <c r="G44" s="1"/>
      <c r="H44" s="1"/>
    </row>
    <row r="47" spans="1:8" x14ac:dyDescent="0.2">
      <c r="A47" t="s">
        <v>11</v>
      </c>
    </row>
    <row r="49" spans="1:8" x14ac:dyDescent="0.2">
      <c r="A49" t="s">
        <v>0</v>
      </c>
    </row>
    <row r="51" spans="1:8" x14ac:dyDescent="0.2">
      <c r="A51" t="s">
        <v>1</v>
      </c>
    </row>
    <row r="52" spans="1:8" x14ac:dyDescent="0.2">
      <c r="A52" t="s">
        <v>2</v>
      </c>
    </row>
    <row r="53" spans="1:8" x14ac:dyDescent="0.2">
      <c r="A53" t="s">
        <v>3</v>
      </c>
    </row>
    <row r="55" spans="1:8" x14ac:dyDescent="0.2">
      <c r="A55" t="s">
        <v>4</v>
      </c>
    </row>
    <row r="56" spans="1:8" x14ac:dyDescent="0.2">
      <c r="A56" t="s">
        <v>5</v>
      </c>
    </row>
    <row r="57" spans="1:8" x14ac:dyDescent="0.2">
      <c r="A57" t="s">
        <v>6</v>
      </c>
    </row>
    <row r="59" spans="1:8" x14ac:dyDescent="0.2"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t="s">
        <v>28</v>
      </c>
      <c r="H59" t="s">
        <v>29</v>
      </c>
    </row>
    <row r="60" spans="1:8" x14ac:dyDescent="0.2">
      <c r="A60" t="s">
        <v>30</v>
      </c>
      <c r="B60">
        <v>10</v>
      </c>
      <c r="C60">
        <v>127.46559999999999</v>
      </c>
      <c r="D60">
        <v>12.746562000000001</v>
      </c>
      <c r="E60">
        <v>14.004720000000001</v>
      </c>
      <c r="F60">
        <v>35.133980000000001</v>
      </c>
      <c r="G60" s="1">
        <v>5.0644570000000002E-10</v>
      </c>
      <c r="H60" s="1">
        <v>1.9762750000000002E-9</v>
      </c>
    </row>
    <row r="61" spans="1:8" x14ac:dyDescent="0.2">
      <c r="A61" t="s">
        <v>31</v>
      </c>
      <c r="B61">
        <v>138</v>
      </c>
      <c r="C61">
        <v>235.333</v>
      </c>
      <c r="D61">
        <v>1.7053119999999999</v>
      </c>
    </row>
    <row r="62" spans="1:8" x14ac:dyDescent="0.2">
      <c r="A62" t="s">
        <v>32</v>
      </c>
      <c r="B62">
        <v>148</v>
      </c>
      <c r="C62">
        <v>362.7987</v>
      </c>
    </row>
    <row r="65" spans="1:11" x14ac:dyDescent="0.2">
      <c r="A65" t="s">
        <v>7</v>
      </c>
    </row>
    <row r="66" spans="1:11" x14ac:dyDescent="0.2">
      <c r="A66" t="s">
        <v>5</v>
      </c>
    </row>
    <row r="67" spans="1:11" x14ac:dyDescent="0.2">
      <c r="B67" t="s">
        <v>23</v>
      </c>
      <c r="C67" t="s">
        <v>33</v>
      </c>
      <c r="D67" t="s">
        <v>34</v>
      </c>
      <c r="E67" t="s">
        <v>26</v>
      </c>
      <c r="F67" t="s">
        <v>27</v>
      </c>
      <c r="G67" t="s">
        <v>35</v>
      </c>
      <c r="H67" t="s">
        <v>36</v>
      </c>
      <c r="I67" t="s">
        <v>28</v>
      </c>
      <c r="J67" t="s">
        <v>29</v>
      </c>
    </row>
    <row r="68" spans="1:11" x14ac:dyDescent="0.2">
      <c r="A68" t="s">
        <v>44</v>
      </c>
      <c r="B68">
        <v>2</v>
      </c>
      <c r="D68">
        <v>17.71</v>
      </c>
      <c r="E68">
        <v>2.347</v>
      </c>
      <c r="F68">
        <v>4.8810000000000002</v>
      </c>
      <c r="H68">
        <v>5.1920000000000002</v>
      </c>
      <c r="I68">
        <v>4.0000000000000001E-3</v>
      </c>
      <c r="J68">
        <v>6.6990000000000001E-3</v>
      </c>
      <c r="K68" t="s">
        <v>38</v>
      </c>
    </row>
    <row r="69" spans="1:11" x14ac:dyDescent="0.2">
      <c r="A69" t="s">
        <v>39</v>
      </c>
      <c r="B69">
        <v>2</v>
      </c>
      <c r="D69">
        <v>31.29</v>
      </c>
      <c r="E69">
        <v>4.0389999999999997</v>
      </c>
      <c r="F69">
        <v>8.6240000000000006</v>
      </c>
      <c r="H69">
        <v>9.1739999999999995</v>
      </c>
      <c r="I69">
        <v>0</v>
      </c>
      <c r="J69">
        <v>1.8200000000000001E-4</v>
      </c>
      <c r="K69" t="s">
        <v>40</v>
      </c>
    </row>
    <row r="70" spans="1:11" x14ac:dyDescent="0.2">
      <c r="A70" t="s">
        <v>41</v>
      </c>
      <c r="B70">
        <v>2</v>
      </c>
      <c r="D70">
        <v>13.7</v>
      </c>
      <c r="E70">
        <v>1.831</v>
      </c>
      <c r="F70">
        <v>3.7759999999999998</v>
      </c>
      <c r="H70">
        <v>4.0170000000000003</v>
      </c>
      <c r="I70">
        <v>1.4999999999999999E-2</v>
      </c>
      <c r="J70">
        <v>2.0160000000000001E-2</v>
      </c>
      <c r="K70" t="s">
        <v>42</v>
      </c>
    </row>
    <row r="71" spans="1:11" x14ac:dyDescent="0.2">
      <c r="A71" t="s">
        <v>45</v>
      </c>
      <c r="B71">
        <v>2</v>
      </c>
      <c r="D71">
        <v>31.48</v>
      </c>
      <c r="E71">
        <v>4.0609999999999999</v>
      </c>
      <c r="F71">
        <v>8.6760000000000002</v>
      </c>
      <c r="H71">
        <v>9.2289999999999992</v>
      </c>
      <c r="I71">
        <v>0</v>
      </c>
      <c r="J71">
        <v>1.73E-4</v>
      </c>
      <c r="K71" t="s">
        <v>40</v>
      </c>
    </row>
    <row r="72" spans="1:11" x14ac:dyDescent="0.2">
      <c r="A72" t="s">
        <v>46</v>
      </c>
      <c r="B72">
        <v>2</v>
      </c>
      <c r="D72">
        <v>17.8</v>
      </c>
      <c r="E72">
        <v>2.359</v>
      </c>
      <c r="F72">
        <v>4.9059999999999997</v>
      </c>
      <c r="H72">
        <v>5.2190000000000003</v>
      </c>
      <c r="I72">
        <v>4.0000000000000001E-3</v>
      </c>
      <c r="J72">
        <v>6.5329999999999997E-3</v>
      </c>
      <c r="K72" t="s">
        <v>38</v>
      </c>
    </row>
    <row r="73" spans="1:11" x14ac:dyDescent="0.2">
      <c r="A73" t="s">
        <v>8</v>
      </c>
    </row>
    <row r="74" spans="1:11" x14ac:dyDescent="0.2">
      <c r="A74" t="s">
        <v>9</v>
      </c>
      <c r="G74" s="1"/>
      <c r="H74" s="1"/>
    </row>
    <row r="77" spans="1:11" x14ac:dyDescent="0.2">
      <c r="A77" t="s">
        <v>54</v>
      </c>
    </row>
    <row r="78" spans="1:11" x14ac:dyDescent="0.2">
      <c r="A78" t="s">
        <v>55</v>
      </c>
    </row>
    <row r="79" spans="1:11" x14ac:dyDescent="0.2">
      <c r="B79" t="s">
        <v>59</v>
      </c>
      <c r="C79" t="s">
        <v>60</v>
      </c>
      <c r="D79" t="s">
        <v>61</v>
      </c>
    </row>
    <row r="80" spans="1:11" x14ac:dyDescent="0.2">
      <c r="A80" t="s">
        <v>62</v>
      </c>
      <c r="B80">
        <v>2.1451419999999999</v>
      </c>
      <c r="C80">
        <v>0.11069900000000001</v>
      </c>
      <c r="D80">
        <v>19.378</v>
      </c>
    </row>
    <row r="81" spans="1:4" x14ac:dyDescent="0.2">
      <c r="A81" t="s">
        <v>73</v>
      </c>
      <c r="B81">
        <v>0.43592900000000001</v>
      </c>
      <c r="C81">
        <v>0.15693599999999999</v>
      </c>
      <c r="D81">
        <v>2.778</v>
      </c>
    </row>
    <row r="82" spans="1:4" x14ac:dyDescent="0.2">
      <c r="A82" t="s">
        <v>74</v>
      </c>
      <c r="B82">
        <v>-0.41861399999999999</v>
      </c>
      <c r="C82">
        <v>0.21967300000000001</v>
      </c>
      <c r="D82">
        <v>-1.9059999999999999</v>
      </c>
    </row>
    <row r="83" spans="1:4" x14ac:dyDescent="0.2">
      <c r="A83" t="s">
        <v>65</v>
      </c>
      <c r="B83">
        <v>-0.59339399999999998</v>
      </c>
      <c r="C83">
        <v>0.151398</v>
      </c>
      <c r="D83">
        <v>-3.919</v>
      </c>
    </row>
    <row r="84" spans="1:4" x14ac:dyDescent="0.2">
      <c r="A84" t="s">
        <v>66</v>
      </c>
      <c r="B84">
        <v>-0.32298300000000002</v>
      </c>
      <c r="C84">
        <v>0.22695199999999999</v>
      </c>
      <c r="D84">
        <v>-1.423</v>
      </c>
    </row>
    <row r="85" spans="1:4" x14ac:dyDescent="0.2">
      <c r="A85" t="s">
        <v>67</v>
      </c>
      <c r="B85">
        <v>0.42093399999999997</v>
      </c>
      <c r="C85">
        <v>0.14929600000000001</v>
      </c>
      <c r="D85">
        <v>2.819</v>
      </c>
    </row>
    <row r="86" spans="1:4" x14ac:dyDescent="0.2">
      <c r="A86" t="s">
        <v>68</v>
      </c>
      <c r="B86">
        <v>-4.3742000000000003E-2</v>
      </c>
      <c r="C86">
        <v>0.22523799999999999</v>
      </c>
      <c r="D86">
        <v>-0.19400000000000001</v>
      </c>
    </row>
    <row r="87" spans="1:4" x14ac:dyDescent="0.2">
      <c r="A87" t="s">
        <v>69</v>
      </c>
      <c r="B87">
        <v>0.20971600000000001</v>
      </c>
      <c r="C87">
        <v>0.15794900000000001</v>
      </c>
      <c r="D87">
        <v>1.3280000000000001</v>
      </c>
    </row>
    <row r="88" spans="1:4" x14ac:dyDescent="0.2">
      <c r="A88" t="s">
        <v>70</v>
      </c>
      <c r="B88">
        <v>0.94747899999999996</v>
      </c>
      <c r="C88">
        <v>0.23593800000000001</v>
      </c>
      <c r="D88">
        <v>4.016</v>
      </c>
    </row>
    <row r="89" spans="1:4" x14ac:dyDescent="0.2">
      <c r="A89" t="s">
        <v>71</v>
      </c>
      <c r="B89">
        <v>-7.0049999999999999E-3</v>
      </c>
      <c r="C89">
        <v>0.16777900000000001</v>
      </c>
      <c r="D89">
        <v>-4.2000000000000003E-2</v>
      </c>
    </row>
    <row r="90" spans="1:4" x14ac:dyDescent="0.2">
      <c r="A90" t="s">
        <v>72</v>
      </c>
      <c r="B90">
        <v>0.784609</v>
      </c>
      <c r="C90">
        <v>0.24348900000000001</v>
      </c>
      <c r="D90">
        <v>3.222</v>
      </c>
    </row>
    <row r="93" spans="1:4" x14ac:dyDescent="0.2">
      <c r="A93" t="s">
        <v>12</v>
      </c>
    </row>
    <row r="95" spans="1:4" x14ac:dyDescent="0.2">
      <c r="A95" t="s">
        <v>0</v>
      </c>
    </row>
    <row r="97" spans="1:8" x14ac:dyDescent="0.2">
      <c r="A97" t="s">
        <v>1</v>
      </c>
    </row>
    <row r="98" spans="1:8" x14ac:dyDescent="0.2">
      <c r="A98" t="s">
        <v>2</v>
      </c>
    </row>
    <row r="99" spans="1:8" x14ac:dyDescent="0.2">
      <c r="A99" t="s">
        <v>3</v>
      </c>
    </row>
    <row r="101" spans="1:8" x14ac:dyDescent="0.2">
      <c r="A101" t="s">
        <v>4</v>
      </c>
    </row>
    <row r="102" spans="1:8" x14ac:dyDescent="0.2">
      <c r="A102" t="s">
        <v>5</v>
      </c>
    </row>
    <row r="103" spans="1:8" x14ac:dyDescent="0.2">
      <c r="A103" t="s">
        <v>13</v>
      </c>
    </row>
    <row r="105" spans="1:8" x14ac:dyDescent="0.2"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s="1" t="s">
        <v>28</v>
      </c>
      <c r="H105" s="1" t="s">
        <v>29</v>
      </c>
    </row>
    <row r="106" spans="1:8" x14ac:dyDescent="0.2">
      <c r="A106" t="s">
        <v>30</v>
      </c>
      <c r="B106">
        <v>12</v>
      </c>
      <c r="C106">
        <v>161.93520000000001</v>
      </c>
      <c r="D106">
        <v>13.494598</v>
      </c>
      <c r="E106">
        <v>15.151249999999999</v>
      </c>
      <c r="F106">
        <v>37.392339999999997</v>
      </c>
      <c r="G106" s="1">
        <v>3.5303060000000001E-10</v>
      </c>
      <c r="H106" s="1">
        <v>1.8441539999999999E-9</v>
      </c>
    </row>
    <row r="107" spans="1:8" x14ac:dyDescent="0.2">
      <c r="A107" t="s">
        <v>31</v>
      </c>
      <c r="B107">
        <v>136</v>
      </c>
      <c r="C107">
        <v>271.13529999999997</v>
      </c>
      <c r="D107">
        <v>1.9936419999999999</v>
      </c>
    </row>
    <row r="108" spans="1:8" x14ac:dyDescent="0.2">
      <c r="A108" t="s">
        <v>32</v>
      </c>
      <c r="B108">
        <v>148</v>
      </c>
      <c r="C108">
        <v>433.07049999999998</v>
      </c>
    </row>
    <row r="111" spans="1:8" x14ac:dyDescent="0.2">
      <c r="A111" t="s">
        <v>7</v>
      </c>
    </row>
    <row r="112" spans="1:8" x14ac:dyDescent="0.2">
      <c r="A112" t="s">
        <v>5</v>
      </c>
    </row>
    <row r="113" spans="1:11" x14ac:dyDescent="0.2">
      <c r="B113" t="s">
        <v>23</v>
      </c>
      <c r="C113" t="s">
        <v>33</v>
      </c>
      <c r="D113" t="s">
        <v>34</v>
      </c>
      <c r="E113" t="s">
        <v>26</v>
      </c>
      <c r="F113" t="s">
        <v>27</v>
      </c>
      <c r="G113" t="s">
        <v>35</v>
      </c>
      <c r="H113" t="s">
        <v>36</v>
      </c>
      <c r="I113" t="s">
        <v>28</v>
      </c>
      <c r="J113" t="s">
        <v>29</v>
      </c>
    </row>
    <row r="114" spans="1:11" x14ac:dyDescent="0.2">
      <c r="A114" t="s">
        <v>44</v>
      </c>
      <c r="B114">
        <v>2</v>
      </c>
      <c r="D114">
        <v>24.2</v>
      </c>
      <c r="E114">
        <v>2.766</v>
      </c>
      <c r="F114">
        <v>5.5869999999999997</v>
      </c>
      <c r="H114">
        <v>6.0679999999999996</v>
      </c>
      <c r="I114">
        <v>2E-3</v>
      </c>
      <c r="J114">
        <v>2.9889999999999999E-3</v>
      </c>
      <c r="K114" t="s">
        <v>38</v>
      </c>
    </row>
    <row r="115" spans="1:11" x14ac:dyDescent="0.2">
      <c r="A115" t="s">
        <v>47</v>
      </c>
      <c r="B115">
        <v>2</v>
      </c>
      <c r="D115">
        <v>37.450000000000003</v>
      </c>
      <c r="E115">
        <v>4.1859999999999999</v>
      </c>
      <c r="F115">
        <v>8.6460000000000008</v>
      </c>
      <c r="H115">
        <v>9.391</v>
      </c>
      <c r="I115">
        <v>0</v>
      </c>
      <c r="J115">
        <v>1.5100000000000001E-4</v>
      </c>
      <c r="K115" t="s">
        <v>40</v>
      </c>
    </row>
    <row r="116" spans="1:11" x14ac:dyDescent="0.2">
      <c r="A116" t="s">
        <v>48</v>
      </c>
      <c r="B116">
        <v>2</v>
      </c>
      <c r="D116">
        <v>15.1</v>
      </c>
      <c r="E116">
        <v>1.7529999999999999</v>
      </c>
      <c r="F116">
        <v>3.4860000000000002</v>
      </c>
      <c r="H116">
        <v>3.7869999999999999</v>
      </c>
      <c r="I116">
        <v>1.7999999999999999E-2</v>
      </c>
      <c r="J116">
        <v>2.5094999999999999E-2</v>
      </c>
      <c r="K116" t="s">
        <v>42</v>
      </c>
    </row>
    <row r="117" spans="1:11" x14ac:dyDescent="0.2">
      <c r="A117" t="s">
        <v>41</v>
      </c>
      <c r="B117">
        <v>2</v>
      </c>
      <c r="D117">
        <v>10.35</v>
      </c>
      <c r="E117">
        <v>1.212</v>
      </c>
      <c r="F117">
        <v>2.3889999999999998</v>
      </c>
      <c r="H117">
        <v>2.5950000000000002</v>
      </c>
      <c r="I117">
        <v>6.0999999999999999E-2</v>
      </c>
      <c r="J117">
        <v>7.8351000000000004E-2</v>
      </c>
      <c r="K117" t="s">
        <v>49</v>
      </c>
    </row>
    <row r="118" spans="1:11" x14ac:dyDescent="0.2">
      <c r="A118" t="s">
        <v>43</v>
      </c>
      <c r="B118">
        <v>2</v>
      </c>
      <c r="D118">
        <v>31.83</v>
      </c>
      <c r="E118">
        <v>3.5920000000000001</v>
      </c>
      <c r="F118">
        <v>7.351</v>
      </c>
      <c r="H118">
        <v>7.984</v>
      </c>
      <c r="I118">
        <v>0</v>
      </c>
      <c r="J118">
        <v>5.2700000000000002E-4</v>
      </c>
      <c r="K118" t="s">
        <v>40</v>
      </c>
    </row>
    <row r="119" spans="1:11" x14ac:dyDescent="0.2">
      <c r="A119" t="s">
        <v>46</v>
      </c>
      <c r="B119">
        <v>2</v>
      </c>
      <c r="D119">
        <v>14.75</v>
      </c>
      <c r="E119">
        <v>1.714</v>
      </c>
      <c r="F119">
        <v>3.4049999999999998</v>
      </c>
      <c r="H119">
        <v>3.698</v>
      </c>
      <c r="I119">
        <v>1.9E-2</v>
      </c>
      <c r="J119">
        <v>2.7286999999999999E-2</v>
      </c>
      <c r="K119" t="s">
        <v>42</v>
      </c>
    </row>
    <row r="120" spans="1:11" x14ac:dyDescent="0.2">
      <c r="A120" t="s">
        <v>8</v>
      </c>
    </row>
    <row r="121" spans="1:11" x14ac:dyDescent="0.2">
      <c r="A121" t="s">
        <v>9</v>
      </c>
    </row>
    <row r="124" spans="1:11" x14ac:dyDescent="0.2">
      <c r="A124" t="s">
        <v>54</v>
      </c>
    </row>
    <row r="125" spans="1:11" x14ac:dyDescent="0.2">
      <c r="A125" t="s">
        <v>55</v>
      </c>
    </row>
    <row r="126" spans="1:11" x14ac:dyDescent="0.2">
      <c r="B126" t="s">
        <v>59</v>
      </c>
      <c r="C126" t="s">
        <v>60</v>
      </c>
      <c r="D126" t="s">
        <v>61</v>
      </c>
    </row>
    <row r="127" spans="1:11" x14ac:dyDescent="0.2">
      <c r="A127" t="s">
        <v>62</v>
      </c>
      <c r="B127">
        <v>2.0062639999999998</v>
      </c>
      <c r="C127">
        <v>0.119841</v>
      </c>
      <c r="D127">
        <v>16.741</v>
      </c>
    </row>
    <row r="128" spans="1:11" x14ac:dyDescent="0.2">
      <c r="A128" t="s">
        <v>73</v>
      </c>
      <c r="B128">
        <v>0.40123799999999998</v>
      </c>
      <c r="C128">
        <v>0.17288999999999999</v>
      </c>
      <c r="D128">
        <v>2.3210000000000002</v>
      </c>
    </row>
    <row r="129" spans="1:4" x14ac:dyDescent="0.2">
      <c r="A129" t="s">
        <v>74</v>
      </c>
      <c r="B129">
        <v>-0.66679600000000006</v>
      </c>
      <c r="C129">
        <v>0.23824899999999999</v>
      </c>
      <c r="D129">
        <v>-2.7989999999999999</v>
      </c>
    </row>
    <row r="130" spans="1:4" x14ac:dyDescent="0.2">
      <c r="A130" t="s">
        <v>75</v>
      </c>
      <c r="B130">
        <v>-0.68977100000000002</v>
      </c>
      <c r="C130">
        <v>0.168823</v>
      </c>
      <c r="D130">
        <v>-4.0860000000000003</v>
      </c>
    </row>
    <row r="131" spans="1:4" x14ac:dyDescent="0.2">
      <c r="A131" t="s">
        <v>76</v>
      </c>
      <c r="B131">
        <v>-0.29472500000000001</v>
      </c>
      <c r="C131">
        <v>0.24890599999999999</v>
      </c>
      <c r="D131">
        <v>-1.1839999999999999</v>
      </c>
    </row>
    <row r="132" spans="1:4" x14ac:dyDescent="0.2">
      <c r="A132" t="s">
        <v>77</v>
      </c>
      <c r="B132">
        <v>0.315465</v>
      </c>
      <c r="C132">
        <v>0.168383</v>
      </c>
      <c r="D132">
        <v>1.873</v>
      </c>
    </row>
    <row r="133" spans="1:4" x14ac:dyDescent="0.2">
      <c r="A133" t="s">
        <v>78</v>
      </c>
      <c r="B133">
        <v>0.53191200000000005</v>
      </c>
      <c r="C133">
        <v>0.25057600000000002</v>
      </c>
      <c r="D133">
        <v>2.1230000000000002</v>
      </c>
    </row>
    <row r="134" spans="1:4" x14ac:dyDescent="0.2">
      <c r="A134" t="s">
        <v>67</v>
      </c>
      <c r="B134">
        <v>0.37822099999999997</v>
      </c>
      <c r="C134">
        <v>0.16603999999999999</v>
      </c>
      <c r="D134">
        <v>2.278</v>
      </c>
    </row>
    <row r="135" spans="1:4" x14ac:dyDescent="0.2">
      <c r="A135" t="s">
        <v>68</v>
      </c>
      <c r="B135">
        <v>1.9170000000000001E-3</v>
      </c>
      <c r="C135">
        <v>0.24446499999999999</v>
      </c>
      <c r="D135">
        <v>8.0000000000000002E-3</v>
      </c>
    </row>
    <row r="136" spans="1:4" x14ac:dyDescent="0.2">
      <c r="A136" t="s">
        <v>79</v>
      </c>
      <c r="B136">
        <v>0.19561600000000001</v>
      </c>
      <c r="C136">
        <v>0.17449000000000001</v>
      </c>
      <c r="D136">
        <v>1.121</v>
      </c>
    </row>
    <row r="137" spans="1:4" x14ac:dyDescent="0.2">
      <c r="A137" t="s">
        <v>80</v>
      </c>
      <c r="B137">
        <v>0.97467599999999999</v>
      </c>
      <c r="C137">
        <v>0.25907999999999998</v>
      </c>
      <c r="D137">
        <v>3.762</v>
      </c>
    </row>
    <row r="138" spans="1:4" x14ac:dyDescent="0.2">
      <c r="A138" t="s">
        <v>71</v>
      </c>
      <c r="B138">
        <v>4.3208999999999997E-2</v>
      </c>
      <c r="C138">
        <v>0.182341</v>
      </c>
      <c r="D138">
        <v>0.23699999999999999</v>
      </c>
    </row>
    <row r="139" spans="1:4" x14ac:dyDescent="0.2">
      <c r="A139" t="s">
        <v>72</v>
      </c>
      <c r="B139">
        <v>0.71224100000000001</v>
      </c>
      <c r="C139">
        <v>0.26640900000000001</v>
      </c>
      <c r="D139">
        <v>2.673</v>
      </c>
    </row>
    <row r="142" spans="1:4" x14ac:dyDescent="0.2">
      <c r="A142" t="s">
        <v>14</v>
      </c>
    </row>
    <row r="144" spans="1:4" x14ac:dyDescent="0.2">
      <c r="A144" t="s">
        <v>0</v>
      </c>
    </row>
    <row r="146" spans="1:8" x14ac:dyDescent="0.2">
      <c r="A146" t="s">
        <v>1</v>
      </c>
    </row>
    <row r="147" spans="1:8" x14ac:dyDescent="0.2">
      <c r="A147" t="s">
        <v>2</v>
      </c>
    </row>
    <row r="148" spans="1:8" x14ac:dyDescent="0.2">
      <c r="A148" t="s">
        <v>3</v>
      </c>
    </row>
    <row r="150" spans="1:8" x14ac:dyDescent="0.2">
      <c r="A150" t="s">
        <v>4</v>
      </c>
    </row>
    <row r="151" spans="1:8" x14ac:dyDescent="0.2">
      <c r="A151" t="s">
        <v>5</v>
      </c>
    </row>
    <row r="152" spans="1:8" x14ac:dyDescent="0.2">
      <c r="A152" t="s">
        <v>15</v>
      </c>
    </row>
    <row r="154" spans="1:8" x14ac:dyDescent="0.2"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28</v>
      </c>
      <c r="H154" t="s">
        <v>29</v>
      </c>
    </row>
    <row r="155" spans="1:8" x14ac:dyDescent="0.2">
      <c r="A155" t="s">
        <v>30</v>
      </c>
      <c r="B155">
        <v>6</v>
      </c>
      <c r="C155">
        <v>126.29389999999999</v>
      </c>
      <c r="D155">
        <v>21.048978999999999</v>
      </c>
      <c r="E155">
        <v>6.7138859999999996</v>
      </c>
      <c r="F155">
        <v>18.739270000000001</v>
      </c>
      <c r="G155" s="1">
        <v>2.627279E-5</v>
      </c>
      <c r="H155" s="1">
        <v>4.1573909999999999E-5</v>
      </c>
    </row>
    <row r="156" spans="1:8" x14ac:dyDescent="0.2">
      <c r="A156" t="s">
        <v>31</v>
      </c>
      <c r="B156">
        <v>142</v>
      </c>
      <c r="C156">
        <v>547.65909999999997</v>
      </c>
      <c r="D156">
        <v>3.8567550000000002</v>
      </c>
    </row>
    <row r="157" spans="1:8" x14ac:dyDescent="0.2">
      <c r="A157" t="s">
        <v>32</v>
      </c>
      <c r="B157">
        <v>148</v>
      </c>
      <c r="C157">
        <v>673.95299999999997</v>
      </c>
    </row>
    <row r="160" spans="1:8" x14ac:dyDescent="0.2">
      <c r="A160" t="s">
        <v>7</v>
      </c>
    </row>
    <row r="161" spans="1:11" x14ac:dyDescent="0.2">
      <c r="A161" t="s">
        <v>5</v>
      </c>
    </row>
    <row r="162" spans="1:11" x14ac:dyDescent="0.2">
      <c r="B162" t="s">
        <v>23</v>
      </c>
      <c r="C162" t="s">
        <v>33</v>
      </c>
      <c r="D162" t="s">
        <v>34</v>
      </c>
      <c r="E162" t="s">
        <v>26</v>
      </c>
      <c r="F162" t="s">
        <v>27</v>
      </c>
      <c r="G162" t="s">
        <v>35</v>
      </c>
      <c r="H162" t="s">
        <v>36</v>
      </c>
      <c r="I162" t="s">
        <v>28</v>
      </c>
      <c r="J162" t="s">
        <v>29</v>
      </c>
    </row>
    <row r="163" spans="1:11" x14ac:dyDescent="0.2">
      <c r="A163" t="s">
        <v>37</v>
      </c>
      <c r="B163">
        <v>2</v>
      </c>
      <c r="D163">
        <v>39.47</v>
      </c>
      <c r="E163">
        <v>2.2519999999999998</v>
      </c>
      <c r="F163">
        <v>5.8570000000000002</v>
      </c>
      <c r="H163">
        <v>5.117</v>
      </c>
      <c r="I163">
        <v>6.0000000000000001E-3</v>
      </c>
      <c r="J163">
        <v>7.1500000000000001E-3</v>
      </c>
      <c r="K163" t="s">
        <v>38</v>
      </c>
    </row>
    <row r="164" spans="1:11" x14ac:dyDescent="0.2">
      <c r="A164" t="s">
        <v>50</v>
      </c>
      <c r="B164">
        <v>2</v>
      </c>
      <c r="D164">
        <v>32.090000000000003</v>
      </c>
      <c r="E164">
        <v>1.8420000000000001</v>
      </c>
      <c r="F164">
        <v>4.7619999999999996</v>
      </c>
      <c r="H164">
        <v>4.1609999999999996</v>
      </c>
      <c r="I164">
        <v>1.4E-2</v>
      </c>
      <c r="J164">
        <v>1.754E-2</v>
      </c>
      <c r="K164" t="s">
        <v>42</v>
      </c>
    </row>
    <row r="165" spans="1:11" x14ac:dyDescent="0.2">
      <c r="A165" t="s">
        <v>45</v>
      </c>
      <c r="B165">
        <v>2</v>
      </c>
      <c r="D165">
        <v>43.88</v>
      </c>
      <c r="E165">
        <v>2.4940000000000002</v>
      </c>
      <c r="F165">
        <v>6.5110000000000001</v>
      </c>
      <c r="H165">
        <v>5.6890000000000001</v>
      </c>
      <c r="I165">
        <v>3.0000000000000001E-3</v>
      </c>
      <c r="J165">
        <v>4.1999999999999997E-3</v>
      </c>
      <c r="K165" t="s">
        <v>38</v>
      </c>
    </row>
    <row r="166" spans="1:11" x14ac:dyDescent="0.2">
      <c r="A166" t="s">
        <v>8</v>
      </c>
    </row>
    <row r="167" spans="1:11" x14ac:dyDescent="0.2">
      <c r="A167" t="s">
        <v>9</v>
      </c>
    </row>
    <row r="170" spans="1:11" x14ac:dyDescent="0.2">
      <c r="A170" t="s">
        <v>54</v>
      </c>
    </row>
    <row r="171" spans="1:11" x14ac:dyDescent="0.2">
      <c r="A171" t="s">
        <v>55</v>
      </c>
    </row>
    <row r="172" spans="1:11" x14ac:dyDescent="0.2">
      <c r="B172" t="s">
        <v>59</v>
      </c>
      <c r="C172" t="s">
        <v>60</v>
      </c>
      <c r="D172" t="s">
        <v>61</v>
      </c>
    </row>
    <row r="173" spans="1:11" x14ac:dyDescent="0.2">
      <c r="A173" t="s">
        <v>62</v>
      </c>
      <c r="B173">
        <v>2.1913999999999998</v>
      </c>
      <c r="C173">
        <v>0.16320000000000001</v>
      </c>
      <c r="D173">
        <v>13.430999999999999</v>
      </c>
    </row>
    <row r="174" spans="1:11" x14ac:dyDescent="0.2">
      <c r="A174" t="s">
        <v>63</v>
      </c>
      <c r="B174">
        <v>0.41120000000000001</v>
      </c>
      <c r="C174">
        <v>0.23499999999999999</v>
      </c>
      <c r="D174">
        <v>1.75</v>
      </c>
    </row>
    <row r="175" spans="1:11" x14ac:dyDescent="0.2">
      <c r="A175" t="s">
        <v>64</v>
      </c>
      <c r="B175">
        <v>-0.92349999999999999</v>
      </c>
      <c r="C175">
        <v>0.32550000000000001</v>
      </c>
      <c r="D175">
        <v>-2.8370000000000002</v>
      </c>
    </row>
    <row r="176" spans="1:11" x14ac:dyDescent="0.2">
      <c r="A176" t="s">
        <v>81</v>
      </c>
      <c r="B176">
        <v>0.58840000000000003</v>
      </c>
      <c r="C176">
        <v>0.21790000000000001</v>
      </c>
      <c r="D176">
        <v>2.7</v>
      </c>
    </row>
    <row r="177" spans="1:8" x14ac:dyDescent="0.2">
      <c r="A177" t="s">
        <v>82</v>
      </c>
      <c r="B177">
        <v>0.35770000000000002</v>
      </c>
      <c r="C177">
        <v>0.33450000000000002</v>
      </c>
      <c r="D177">
        <v>1.069</v>
      </c>
    </row>
    <row r="178" spans="1:8" x14ac:dyDescent="0.2">
      <c r="A178" t="s">
        <v>69</v>
      </c>
      <c r="B178">
        <v>0.1515</v>
      </c>
      <c r="C178">
        <v>0.23649999999999999</v>
      </c>
      <c r="D178">
        <v>0.64100000000000001</v>
      </c>
    </row>
    <row r="179" spans="1:8" x14ac:dyDescent="0.2">
      <c r="A179" t="s">
        <v>70</v>
      </c>
      <c r="B179">
        <v>1.1513</v>
      </c>
      <c r="C179">
        <v>0.35039999999999999</v>
      </c>
      <c r="D179">
        <v>3.2850000000000001</v>
      </c>
    </row>
    <row r="182" spans="1:8" x14ac:dyDescent="0.2">
      <c r="A182" t="s">
        <v>16</v>
      </c>
    </row>
    <row r="184" spans="1:8" x14ac:dyDescent="0.2">
      <c r="A184" t="s">
        <v>0</v>
      </c>
    </row>
    <row r="186" spans="1:8" x14ac:dyDescent="0.2">
      <c r="A186" t="s">
        <v>1</v>
      </c>
    </row>
    <row r="187" spans="1:8" x14ac:dyDescent="0.2">
      <c r="A187" t="s">
        <v>2</v>
      </c>
      <c r="G187" s="1"/>
      <c r="H187" s="1"/>
    </row>
    <row r="188" spans="1:8" x14ac:dyDescent="0.2">
      <c r="A188" t="s">
        <v>3</v>
      </c>
    </row>
    <row r="190" spans="1:8" x14ac:dyDescent="0.2">
      <c r="A190" t="s">
        <v>4</v>
      </c>
    </row>
    <row r="191" spans="1:8" x14ac:dyDescent="0.2">
      <c r="A191" t="s">
        <v>5</v>
      </c>
    </row>
    <row r="192" spans="1:8" x14ac:dyDescent="0.2">
      <c r="A192" t="s">
        <v>17</v>
      </c>
    </row>
    <row r="194" spans="1:8" x14ac:dyDescent="0.2"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28</v>
      </c>
      <c r="H194" t="s">
        <v>29</v>
      </c>
    </row>
    <row r="195" spans="1:8" x14ac:dyDescent="0.2">
      <c r="A195" t="s">
        <v>30</v>
      </c>
      <c r="B195">
        <v>2</v>
      </c>
      <c r="C195">
        <v>45.983229999999999</v>
      </c>
      <c r="D195">
        <v>22.991610000000001</v>
      </c>
      <c r="E195">
        <v>2.3855490000000001</v>
      </c>
      <c r="F195">
        <v>7.1078089999999996</v>
      </c>
      <c r="G195">
        <v>4.115769E-3</v>
      </c>
      <c r="H195">
        <v>4.5970819999999997E-3</v>
      </c>
    </row>
    <row r="196" spans="1:8" x14ac:dyDescent="0.2">
      <c r="A196" t="s">
        <v>31</v>
      </c>
      <c r="B196">
        <v>146</v>
      </c>
      <c r="C196">
        <v>600.95636999999999</v>
      </c>
      <c r="D196">
        <v>4.1161399999999997</v>
      </c>
    </row>
    <row r="197" spans="1:8" x14ac:dyDescent="0.2">
      <c r="A197" t="s">
        <v>32</v>
      </c>
      <c r="B197">
        <v>148</v>
      </c>
      <c r="C197">
        <v>646.93960000000004</v>
      </c>
    </row>
    <row r="200" spans="1:8" x14ac:dyDescent="0.2">
      <c r="A200" t="s">
        <v>54</v>
      </c>
    </row>
    <row r="201" spans="1:8" x14ac:dyDescent="0.2">
      <c r="A201" t="s">
        <v>55</v>
      </c>
    </row>
    <row r="202" spans="1:8" x14ac:dyDescent="0.2">
      <c r="B202" t="s">
        <v>59</v>
      </c>
      <c r="C202" t="s">
        <v>60</v>
      </c>
      <c r="D202" t="s">
        <v>61</v>
      </c>
    </row>
    <row r="203" spans="1:8" x14ac:dyDescent="0.2">
      <c r="A203" t="s">
        <v>62</v>
      </c>
      <c r="B203">
        <v>1.9716</v>
      </c>
      <c r="C203">
        <v>0.1663</v>
      </c>
      <c r="D203">
        <v>11.855</v>
      </c>
    </row>
    <row r="204" spans="1:8" x14ac:dyDescent="0.2">
      <c r="A204" t="s">
        <v>83</v>
      </c>
      <c r="B204">
        <v>0.81769999999999998</v>
      </c>
      <c r="C204">
        <v>0.25440000000000002</v>
      </c>
      <c r="D204">
        <v>3.214</v>
      </c>
    </row>
    <row r="205" spans="1:8" x14ac:dyDescent="0.2">
      <c r="A205" t="s">
        <v>84</v>
      </c>
      <c r="B205">
        <v>0.40189999999999998</v>
      </c>
      <c r="C205">
        <v>0.40429999999999999</v>
      </c>
      <c r="D205">
        <v>0.99399999999999999</v>
      </c>
    </row>
    <row r="208" spans="1:8" x14ac:dyDescent="0.2">
      <c r="A208" t="s">
        <v>18</v>
      </c>
    </row>
    <row r="210" spans="1:8" x14ac:dyDescent="0.2">
      <c r="A210" t="s">
        <v>0</v>
      </c>
    </row>
    <row r="212" spans="1:8" x14ac:dyDescent="0.2">
      <c r="A212" t="s">
        <v>1</v>
      </c>
    </row>
    <row r="213" spans="1:8" x14ac:dyDescent="0.2">
      <c r="A213" t="s">
        <v>2</v>
      </c>
    </row>
    <row r="214" spans="1:8" x14ac:dyDescent="0.2">
      <c r="A214" t="s">
        <v>3</v>
      </c>
    </row>
    <row r="216" spans="1:8" x14ac:dyDescent="0.2">
      <c r="A216" t="s">
        <v>4</v>
      </c>
    </row>
    <row r="217" spans="1:8" x14ac:dyDescent="0.2">
      <c r="A217" t="s">
        <v>5</v>
      </c>
    </row>
    <row r="218" spans="1:8" x14ac:dyDescent="0.2">
      <c r="A218" t="s">
        <v>17</v>
      </c>
    </row>
    <row r="220" spans="1:8" x14ac:dyDescent="0.2"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28</v>
      </c>
      <c r="H220" t="s">
        <v>29</v>
      </c>
    </row>
    <row r="221" spans="1:8" x14ac:dyDescent="0.2">
      <c r="A221" t="s">
        <v>30</v>
      </c>
      <c r="B221">
        <v>2</v>
      </c>
      <c r="C221">
        <v>45.627760000000002</v>
      </c>
      <c r="D221">
        <v>22.813880000000001</v>
      </c>
      <c r="E221">
        <v>2.344814</v>
      </c>
      <c r="F221">
        <v>6.9907830000000004</v>
      </c>
      <c r="G221">
        <v>4.5204980000000004E-3</v>
      </c>
      <c r="H221">
        <v>5.0396140000000004E-3</v>
      </c>
    </row>
    <row r="222" spans="1:8" x14ac:dyDescent="0.2">
      <c r="A222" t="s">
        <v>31</v>
      </c>
      <c r="B222">
        <v>146</v>
      </c>
      <c r="C222">
        <v>607.05679999999995</v>
      </c>
      <c r="D222">
        <v>4.1579230000000003</v>
      </c>
    </row>
    <row r="223" spans="1:8" x14ac:dyDescent="0.2">
      <c r="A223" t="s">
        <v>32</v>
      </c>
      <c r="B223">
        <v>148</v>
      </c>
      <c r="C223">
        <v>652.68456000000003</v>
      </c>
    </row>
    <row r="226" spans="1:4" x14ac:dyDescent="0.2">
      <c r="A226" t="s">
        <v>54</v>
      </c>
    </row>
    <row r="227" spans="1:4" x14ac:dyDescent="0.2">
      <c r="A227" t="s">
        <v>55</v>
      </c>
    </row>
    <row r="228" spans="1:4" x14ac:dyDescent="0.2">
      <c r="B228" t="s">
        <v>59</v>
      </c>
      <c r="C228" t="s">
        <v>60</v>
      </c>
      <c r="D228" t="s">
        <v>61</v>
      </c>
    </row>
    <row r="229" spans="1:4" x14ac:dyDescent="0.2">
      <c r="A229" t="s">
        <v>62</v>
      </c>
      <c r="B229">
        <v>1.9058999999999999</v>
      </c>
      <c r="C229">
        <v>0.16750000000000001</v>
      </c>
      <c r="D229">
        <v>11.381</v>
      </c>
    </row>
    <row r="230" spans="1:4" x14ac:dyDescent="0.2">
      <c r="A230" t="s">
        <v>85</v>
      </c>
      <c r="B230">
        <v>0.77439999999999998</v>
      </c>
      <c r="C230">
        <v>0.24579999999999999</v>
      </c>
      <c r="D230">
        <v>3.15</v>
      </c>
    </row>
    <row r="231" spans="1:4" x14ac:dyDescent="0.2">
      <c r="A231" t="s">
        <v>86</v>
      </c>
      <c r="B231">
        <v>0.4254</v>
      </c>
      <c r="C231">
        <v>0.38900000000000001</v>
      </c>
      <c r="D231">
        <v>1.0940000000000001</v>
      </c>
    </row>
    <row r="234" spans="1:4" x14ac:dyDescent="0.2">
      <c r="A234" t="s">
        <v>19</v>
      </c>
    </row>
    <row r="236" spans="1:4" x14ac:dyDescent="0.2">
      <c r="A236" t="s">
        <v>0</v>
      </c>
    </row>
    <row r="238" spans="1:4" x14ac:dyDescent="0.2">
      <c r="A238" t="s">
        <v>1</v>
      </c>
    </row>
    <row r="239" spans="1:4" x14ac:dyDescent="0.2">
      <c r="A239" t="s">
        <v>2</v>
      </c>
    </row>
    <row r="240" spans="1:4" x14ac:dyDescent="0.2">
      <c r="A240" t="s">
        <v>20</v>
      </c>
    </row>
    <row r="242" spans="1:8" x14ac:dyDescent="0.2">
      <c r="A242" t="s">
        <v>4</v>
      </c>
    </row>
    <row r="243" spans="1:8" x14ac:dyDescent="0.2">
      <c r="A243" t="s">
        <v>5</v>
      </c>
    </row>
    <row r="244" spans="1:8" x14ac:dyDescent="0.2">
      <c r="A244" t="s">
        <v>17</v>
      </c>
    </row>
    <row r="246" spans="1:8" x14ac:dyDescent="0.2"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t="s">
        <v>28</v>
      </c>
      <c r="H246" t="s">
        <v>29</v>
      </c>
    </row>
    <row r="247" spans="1:8" x14ac:dyDescent="0.2">
      <c r="A247" t="s">
        <v>30</v>
      </c>
      <c r="B247">
        <v>2</v>
      </c>
      <c r="C247">
        <v>31.894130000000001</v>
      </c>
      <c r="D247">
        <v>15.947066</v>
      </c>
      <c r="E247">
        <v>2.677044</v>
      </c>
      <c r="F247">
        <v>9.9204139999999992</v>
      </c>
      <c r="G247">
        <v>2.1035680000000001E-3</v>
      </c>
      <c r="H247">
        <v>2.460463E-3</v>
      </c>
    </row>
    <row r="248" spans="1:8" x14ac:dyDescent="0.2">
      <c r="A248" t="s">
        <v>31</v>
      </c>
      <c r="B248">
        <v>115</v>
      </c>
      <c r="C248">
        <v>289.60586999999998</v>
      </c>
      <c r="D248">
        <v>2.5183119999999999</v>
      </c>
    </row>
    <row r="249" spans="1:8" x14ac:dyDescent="0.2">
      <c r="A249" t="s">
        <v>32</v>
      </c>
      <c r="B249">
        <v>117</v>
      </c>
      <c r="C249">
        <v>321.5</v>
      </c>
    </row>
    <row r="252" spans="1:8" x14ac:dyDescent="0.2">
      <c r="A252" t="s">
        <v>54</v>
      </c>
    </row>
    <row r="253" spans="1:8" x14ac:dyDescent="0.2">
      <c r="A253" t="s">
        <v>55</v>
      </c>
    </row>
    <row r="254" spans="1:8" x14ac:dyDescent="0.2">
      <c r="B254" t="s">
        <v>59</v>
      </c>
      <c r="C254" t="s">
        <v>60</v>
      </c>
      <c r="D254" t="s">
        <v>61</v>
      </c>
    </row>
    <row r="255" spans="1:8" x14ac:dyDescent="0.2">
      <c r="A255" t="s">
        <v>62</v>
      </c>
      <c r="B255">
        <v>1.4455</v>
      </c>
      <c r="C255">
        <v>0.14710000000000001</v>
      </c>
      <c r="D255">
        <v>9.827</v>
      </c>
    </row>
    <row r="256" spans="1:8" x14ac:dyDescent="0.2">
      <c r="A256" t="s">
        <v>87</v>
      </c>
      <c r="B256">
        <v>-0.49399999999999999</v>
      </c>
      <c r="C256">
        <v>0.22040000000000001</v>
      </c>
      <c r="D256">
        <v>-2.2410000000000001</v>
      </c>
    </row>
    <row r="257" spans="1:8" x14ac:dyDescent="0.2">
      <c r="A257" t="s">
        <v>88</v>
      </c>
      <c r="B257">
        <v>0.84209999999999996</v>
      </c>
      <c r="C257">
        <v>0.2964</v>
      </c>
      <c r="D257">
        <v>2.8410000000000002</v>
      </c>
    </row>
    <row r="260" spans="1:8" x14ac:dyDescent="0.2">
      <c r="A260" t="s">
        <v>21</v>
      </c>
    </row>
    <row r="262" spans="1:8" x14ac:dyDescent="0.2">
      <c r="A262" t="s">
        <v>0</v>
      </c>
    </row>
    <row r="264" spans="1:8" x14ac:dyDescent="0.2">
      <c r="A264" t="s">
        <v>1</v>
      </c>
    </row>
    <row r="265" spans="1:8" x14ac:dyDescent="0.2">
      <c r="A265" t="s">
        <v>2</v>
      </c>
    </row>
    <row r="266" spans="1:8" x14ac:dyDescent="0.2">
      <c r="A266" t="s">
        <v>20</v>
      </c>
    </row>
    <row r="268" spans="1:8" x14ac:dyDescent="0.2">
      <c r="A268" t="s">
        <v>4</v>
      </c>
    </row>
    <row r="269" spans="1:8" x14ac:dyDescent="0.2">
      <c r="A269" t="s">
        <v>5</v>
      </c>
    </row>
    <row r="270" spans="1:8" x14ac:dyDescent="0.2">
      <c r="A270" t="s">
        <v>15</v>
      </c>
    </row>
    <row r="272" spans="1:8" x14ac:dyDescent="0.2"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t="s">
        <v>28</v>
      </c>
      <c r="H272" t="s">
        <v>29</v>
      </c>
    </row>
    <row r="273" spans="1:9" x14ac:dyDescent="0.2">
      <c r="A273" t="s">
        <v>30</v>
      </c>
      <c r="B273">
        <v>6</v>
      </c>
      <c r="C273">
        <v>127.2516</v>
      </c>
      <c r="D273">
        <v>21.208597000000001</v>
      </c>
      <c r="E273">
        <v>8.2199039999999997</v>
      </c>
      <c r="F273">
        <v>27.44295</v>
      </c>
      <c r="G273" s="1">
        <v>1.199619E-6</v>
      </c>
      <c r="H273" s="1">
        <v>2.487858E-6</v>
      </c>
    </row>
    <row r="274" spans="1:9" x14ac:dyDescent="0.2">
      <c r="A274" t="s">
        <v>31</v>
      </c>
      <c r="B274">
        <v>111</v>
      </c>
      <c r="C274">
        <v>336.44330000000002</v>
      </c>
      <c r="D274">
        <v>3.031021</v>
      </c>
    </row>
    <row r="275" spans="1:9" x14ac:dyDescent="0.2">
      <c r="A275" t="s">
        <v>32</v>
      </c>
      <c r="B275">
        <v>117</v>
      </c>
      <c r="C275">
        <v>463.69490000000002</v>
      </c>
    </row>
    <row r="278" spans="1:9" x14ac:dyDescent="0.2">
      <c r="A278" t="s">
        <v>7</v>
      </c>
    </row>
    <row r="279" spans="1:9" x14ac:dyDescent="0.2">
      <c r="A279" t="s">
        <v>5</v>
      </c>
    </row>
    <row r="280" spans="1:9" x14ac:dyDescent="0.2">
      <c r="B280" t="s">
        <v>23</v>
      </c>
      <c r="C280" t="s">
        <v>124</v>
      </c>
      <c r="D280" t="s">
        <v>26</v>
      </c>
      <c r="E280" t="s">
        <v>27</v>
      </c>
      <c r="F280" t="s">
        <v>123</v>
      </c>
      <c r="G280" t="s">
        <v>28</v>
      </c>
      <c r="H280" t="s">
        <v>29</v>
      </c>
    </row>
    <row r="281" spans="1:9" x14ac:dyDescent="0.2">
      <c r="A281" t="s">
        <v>51</v>
      </c>
      <c r="B281">
        <v>2</v>
      </c>
      <c r="C281">
        <v>33.07</v>
      </c>
      <c r="D281">
        <v>2.403</v>
      </c>
      <c r="E281">
        <v>7.133</v>
      </c>
      <c r="F281">
        <v>5.4560000000000004</v>
      </c>
      <c r="G281">
        <v>4.0000000000000001E-3</v>
      </c>
      <c r="H281">
        <v>5.4939999999999998E-3</v>
      </c>
      <c r="I281" t="s">
        <v>38</v>
      </c>
    </row>
    <row r="282" spans="1:9" x14ac:dyDescent="0.2">
      <c r="A282" t="s">
        <v>52</v>
      </c>
      <c r="B282">
        <v>2</v>
      </c>
      <c r="C282">
        <v>24.49</v>
      </c>
      <c r="D282">
        <v>1.8</v>
      </c>
      <c r="E282">
        <v>5.2809999999999997</v>
      </c>
      <c r="F282">
        <v>4.04</v>
      </c>
      <c r="G282">
        <v>1.6E-2</v>
      </c>
      <c r="H282">
        <v>2.0251999999999999E-2</v>
      </c>
      <c r="I282" t="s">
        <v>42</v>
      </c>
    </row>
    <row r="283" spans="1:9" x14ac:dyDescent="0.2">
      <c r="A283" t="s">
        <v>53</v>
      </c>
      <c r="B283">
        <v>2</v>
      </c>
      <c r="C283">
        <v>52.69</v>
      </c>
      <c r="D283">
        <v>3.7280000000000002</v>
      </c>
      <c r="E283">
        <v>11.363</v>
      </c>
      <c r="F283">
        <v>8.6920000000000002</v>
      </c>
      <c r="G283">
        <v>0</v>
      </c>
      <c r="H283">
        <v>3.1100000000000002E-4</v>
      </c>
      <c r="I283" t="s">
        <v>40</v>
      </c>
    </row>
    <row r="284" spans="1:9" x14ac:dyDescent="0.2">
      <c r="A284" t="s">
        <v>8</v>
      </c>
    </row>
    <row r="285" spans="1:9" x14ac:dyDescent="0.2">
      <c r="A285" t="s">
        <v>9</v>
      </c>
    </row>
    <row r="288" spans="1:9" x14ac:dyDescent="0.2">
      <c r="A288" t="s">
        <v>54</v>
      </c>
    </row>
    <row r="289" spans="1:4" x14ac:dyDescent="0.2">
      <c r="A289" t="s">
        <v>55</v>
      </c>
    </row>
    <row r="290" spans="1:4" x14ac:dyDescent="0.2">
      <c r="B290" t="s">
        <v>59</v>
      </c>
      <c r="C290" t="s">
        <v>60</v>
      </c>
      <c r="D290" t="s">
        <v>61</v>
      </c>
    </row>
    <row r="291" spans="1:4" x14ac:dyDescent="0.2">
      <c r="A291" t="s">
        <v>62</v>
      </c>
      <c r="B291">
        <v>1.9089</v>
      </c>
      <c r="C291">
        <v>0.16350000000000001</v>
      </c>
      <c r="D291">
        <v>11.675000000000001</v>
      </c>
    </row>
    <row r="292" spans="1:4" x14ac:dyDescent="0.2">
      <c r="A292" t="s">
        <v>89</v>
      </c>
      <c r="B292">
        <v>0.30409999999999998</v>
      </c>
      <c r="C292">
        <v>0.25490000000000002</v>
      </c>
      <c r="D292">
        <v>1.1930000000000001</v>
      </c>
    </row>
    <row r="293" spans="1:4" x14ac:dyDescent="0.2">
      <c r="A293" t="s">
        <v>90</v>
      </c>
      <c r="B293">
        <v>1.2241</v>
      </c>
      <c r="C293">
        <v>0.4022</v>
      </c>
      <c r="D293">
        <v>3.044</v>
      </c>
    </row>
    <row r="294" spans="1:4" x14ac:dyDescent="0.2">
      <c r="A294" t="s">
        <v>91</v>
      </c>
      <c r="B294">
        <v>-0.20269999999999999</v>
      </c>
      <c r="C294">
        <v>0.21990000000000001</v>
      </c>
      <c r="D294">
        <v>-0.92200000000000004</v>
      </c>
    </row>
    <row r="295" spans="1:4" x14ac:dyDescent="0.2">
      <c r="A295" t="s">
        <v>92</v>
      </c>
      <c r="B295">
        <v>-0.86</v>
      </c>
      <c r="C295">
        <v>0.33479999999999999</v>
      </c>
      <c r="D295">
        <v>-2.569</v>
      </c>
    </row>
    <row r="296" spans="1:4" x14ac:dyDescent="0.2">
      <c r="A296" s="5" t="s">
        <v>93</v>
      </c>
      <c r="B296">
        <v>-0.80579999999999996</v>
      </c>
      <c r="C296">
        <v>0.2445</v>
      </c>
      <c r="D296">
        <v>-3.2949999999999999</v>
      </c>
    </row>
    <row r="297" spans="1:4" x14ac:dyDescent="0.2">
      <c r="A297" t="s">
        <v>94</v>
      </c>
      <c r="B297">
        <v>0.89729999999999999</v>
      </c>
      <c r="C297">
        <v>0.33079999999999998</v>
      </c>
      <c r="D297">
        <v>2.7120000000000002</v>
      </c>
    </row>
    <row r="300" spans="1:4" x14ac:dyDescent="0.2">
      <c r="A300" t="s">
        <v>22</v>
      </c>
    </row>
    <row r="302" spans="1:4" x14ac:dyDescent="0.2">
      <c r="A302" t="s">
        <v>0</v>
      </c>
    </row>
    <row r="304" spans="1:4" x14ac:dyDescent="0.2">
      <c r="A304" t="s">
        <v>1</v>
      </c>
    </row>
    <row r="305" spans="1:8" x14ac:dyDescent="0.2">
      <c r="A305" t="s">
        <v>2</v>
      </c>
    </row>
    <row r="306" spans="1:8" x14ac:dyDescent="0.2">
      <c r="A306" t="s">
        <v>20</v>
      </c>
    </row>
    <row r="308" spans="1:8" x14ac:dyDescent="0.2">
      <c r="A308" t="s">
        <v>4</v>
      </c>
    </row>
    <row r="309" spans="1:8" x14ac:dyDescent="0.2">
      <c r="A309" t="s">
        <v>5</v>
      </c>
    </row>
    <row r="310" spans="1:8" x14ac:dyDescent="0.2">
      <c r="A310" t="s">
        <v>17</v>
      </c>
    </row>
    <row r="312" spans="1:8" x14ac:dyDescent="0.2">
      <c r="B312" t="s">
        <v>23</v>
      </c>
      <c r="C312" t="s">
        <v>24</v>
      </c>
      <c r="D312" t="s">
        <v>25</v>
      </c>
      <c r="E312" t="s">
        <v>26</v>
      </c>
      <c r="F312" t="s">
        <v>27</v>
      </c>
      <c r="G312" t="s">
        <v>28</v>
      </c>
      <c r="H312" t="s">
        <v>29</v>
      </c>
    </row>
    <row r="313" spans="1:8" x14ac:dyDescent="0.2">
      <c r="A313" t="s">
        <v>30</v>
      </c>
      <c r="B313">
        <v>2</v>
      </c>
      <c r="C313">
        <v>27490.43</v>
      </c>
      <c r="D313">
        <v>13745.217000000001</v>
      </c>
      <c r="E313">
        <v>3.1197149999999998</v>
      </c>
      <c r="F313">
        <v>11.46327</v>
      </c>
      <c r="G313">
        <v>7.5907480000000005E-4</v>
      </c>
      <c r="H313">
        <v>9.1116989999999996E-4</v>
      </c>
    </row>
    <row r="314" spans="1:8" x14ac:dyDescent="0.2">
      <c r="A314" t="s">
        <v>31</v>
      </c>
      <c r="B314">
        <v>115</v>
      </c>
      <c r="C314">
        <v>212322.71</v>
      </c>
      <c r="D314">
        <v>1846.2840000000001</v>
      </c>
    </row>
    <row r="315" spans="1:8" x14ac:dyDescent="0.2">
      <c r="A315" t="s">
        <v>32</v>
      </c>
      <c r="B315">
        <v>117</v>
      </c>
      <c r="C315">
        <v>239813.15</v>
      </c>
    </row>
    <row r="318" spans="1:8" x14ac:dyDescent="0.2">
      <c r="A318" t="s">
        <v>54</v>
      </c>
    </row>
    <row r="319" spans="1:8" x14ac:dyDescent="0.2">
      <c r="A319" t="s">
        <v>55</v>
      </c>
    </row>
    <row r="320" spans="1:8" x14ac:dyDescent="0.2">
      <c r="B320" t="s">
        <v>59</v>
      </c>
      <c r="C320" t="s">
        <v>60</v>
      </c>
      <c r="D320" t="s">
        <v>61</v>
      </c>
    </row>
    <row r="321" spans="1:4" x14ac:dyDescent="0.2">
      <c r="A321" t="s">
        <v>62</v>
      </c>
      <c r="B321">
        <v>40.963000000000001</v>
      </c>
      <c r="C321">
        <v>3.9830000000000001</v>
      </c>
      <c r="D321">
        <v>10.285</v>
      </c>
    </row>
    <row r="322" spans="1:4" x14ac:dyDescent="0.2">
      <c r="A322" t="s">
        <v>87</v>
      </c>
      <c r="B322">
        <v>-15.215</v>
      </c>
      <c r="C322">
        <v>5.9690000000000003</v>
      </c>
      <c r="D322">
        <v>-2.5489999999999999</v>
      </c>
    </row>
    <row r="323" spans="1:4" x14ac:dyDescent="0.2">
      <c r="A323" t="s">
        <v>88</v>
      </c>
      <c r="B323">
        <v>23.95</v>
      </c>
      <c r="C323">
        <v>8.0259999999999998</v>
      </c>
      <c r="D323">
        <v>2.984</v>
      </c>
    </row>
    <row r="326" spans="1:4" x14ac:dyDescent="0.2">
      <c r="A326" t="s">
        <v>56</v>
      </c>
    </row>
    <row r="328" spans="1:4" x14ac:dyDescent="0.2">
      <c r="A328" t="s">
        <v>0</v>
      </c>
    </row>
    <row r="330" spans="1:4" x14ac:dyDescent="0.2">
      <c r="A330" t="s">
        <v>1</v>
      </c>
    </row>
    <row r="331" spans="1:4" x14ac:dyDescent="0.2">
      <c r="A331" t="s">
        <v>57</v>
      </c>
    </row>
    <row r="332" spans="1:4" x14ac:dyDescent="0.2">
      <c r="A332" t="s">
        <v>20</v>
      </c>
    </row>
    <row r="334" spans="1:4" x14ac:dyDescent="0.2">
      <c r="A334" t="s">
        <v>4</v>
      </c>
    </row>
    <row r="335" spans="1:4" x14ac:dyDescent="0.2">
      <c r="A335" t="s">
        <v>5</v>
      </c>
    </row>
    <row r="336" spans="1:4" x14ac:dyDescent="0.2">
      <c r="A336" t="s">
        <v>15</v>
      </c>
    </row>
    <row r="338" spans="1:6" x14ac:dyDescent="0.2">
      <c r="B338" t="s">
        <v>23</v>
      </c>
      <c r="C338" t="s">
        <v>26</v>
      </c>
      <c r="D338" t="s">
        <v>27</v>
      </c>
      <c r="E338" t="s">
        <v>28</v>
      </c>
    </row>
    <row r="339" spans="1:6" x14ac:dyDescent="0.2">
      <c r="A339" t="s">
        <v>30</v>
      </c>
      <c r="B339">
        <v>6</v>
      </c>
      <c r="C339">
        <v>10.485720000000001</v>
      </c>
      <c r="D339">
        <v>33.58352</v>
      </c>
      <c r="E339" s="1">
        <v>1.0346919999999999E-8</v>
      </c>
    </row>
    <row r="342" spans="1:6" x14ac:dyDescent="0.2">
      <c r="A342" t="s">
        <v>7</v>
      </c>
    </row>
    <row r="343" spans="1:6" x14ac:dyDescent="0.2">
      <c r="A343" t="s">
        <v>5</v>
      </c>
    </row>
    <row r="344" spans="1:6" x14ac:dyDescent="0.2">
      <c r="B344" t="s">
        <v>23</v>
      </c>
      <c r="C344" t="s">
        <v>26</v>
      </c>
      <c r="D344" t="s">
        <v>27</v>
      </c>
      <c r="E344" t="s">
        <v>28</v>
      </c>
    </row>
    <row r="345" spans="1:6" x14ac:dyDescent="0.2">
      <c r="A345" t="s">
        <v>95</v>
      </c>
      <c r="B345">
        <v>2</v>
      </c>
      <c r="C345">
        <v>3.7410000000000001</v>
      </c>
      <c r="D345">
        <v>10.441000000000001</v>
      </c>
      <c r="E345">
        <v>1.8100000000000001E-4</v>
      </c>
      <c r="F345" t="s">
        <v>40</v>
      </c>
    </row>
    <row r="346" spans="1:6" x14ac:dyDescent="0.2">
      <c r="A346" t="s">
        <v>96</v>
      </c>
      <c r="B346">
        <v>2</v>
      </c>
      <c r="C346">
        <v>5.6689999999999996</v>
      </c>
      <c r="D346">
        <v>16.445</v>
      </c>
      <c r="E346" s="1">
        <v>2.1500000000000002E-6</v>
      </c>
      <c r="F346" t="s">
        <v>40</v>
      </c>
    </row>
    <row r="347" spans="1:6" x14ac:dyDescent="0.2">
      <c r="A347" t="s">
        <v>97</v>
      </c>
      <c r="B347">
        <v>2</v>
      </c>
      <c r="C347">
        <v>2.9849999999999999</v>
      </c>
      <c r="D347">
        <v>8.2050000000000001</v>
      </c>
      <c r="E347">
        <v>1.036E-3</v>
      </c>
      <c r="F347" t="s">
        <v>38</v>
      </c>
    </row>
    <row r="348" spans="1:6" x14ac:dyDescent="0.2">
      <c r="A348" t="s">
        <v>8</v>
      </c>
    </row>
    <row r="349" spans="1:6" x14ac:dyDescent="0.2">
      <c r="A349" t="s">
        <v>9</v>
      </c>
    </row>
    <row r="352" spans="1:6" x14ac:dyDescent="0.2">
      <c r="A352" t="s">
        <v>54</v>
      </c>
    </row>
    <row r="353" spans="1:4" x14ac:dyDescent="0.2">
      <c r="A353" t="s">
        <v>55</v>
      </c>
    </row>
    <row r="354" spans="1:4" x14ac:dyDescent="0.2">
      <c r="B354" t="s">
        <v>59</v>
      </c>
      <c r="C354" t="s">
        <v>60</v>
      </c>
      <c r="D354" t="s">
        <v>61</v>
      </c>
    </row>
    <row r="355" spans="1:4" x14ac:dyDescent="0.2">
      <c r="A355" t="s">
        <v>62</v>
      </c>
      <c r="B355">
        <v>-0.27229999999999999</v>
      </c>
      <c r="C355">
        <v>0.24610000000000001</v>
      </c>
      <c r="D355">
        <v>-1.1060000000000001</v>
      </c>
    </row>
    <row r="356" spans="1:4" x14ac:dyDescent="0.2">
      <c r="A356" t="s">
        <v>98</v>
      </c>
      <c r="B356">
        <v>0.58340000000000003</v>
      </c>
      <c r="C356">
        <v>0.3649</v>
      </c>
      <c r="D356">
        <v>1.5980000000000001</v>
      </c>
    </row>
    <row r="357" spans="1:4" x14ac:dyDescent="0.2">
      <c r="A357" t="s">
        <v>99</v>
      </c>
      <c r="B357">
        <v>2.2229000000000001</v>
      </c>
      <c r="C357">
        <v>0.62129999999999996</v>
      </c>
      <c r="D357">
        <v>3.5779999999999998</v>
      </c>
    </row>
    <row r="358" spans="1:4" x14ac:dyDescent="0.2">
      <c r="A358" t="s">
        <v>87</v>
      </c>
      <c r="B358">
        <v>-1.8501000000000001</v>
      </c>
      <c r="C358">
        <v>14.6418</v>
      </c>
      <c r="D358">
        <v>-0.126</v>
      </c>
    </row>
    <row r="359" spans="1:4" x14ac:dyDescent="0.2">
      <c r="A359" t="s">
        <v>88</v>
      </c>
      <c r="B359">
        <v>10.3529</v>
      </c>
      <c r="C359">
        <v>14.646599999999999</v>
      </c>
      <c r="D359">
        <v>0.70699999999999996</v>
      </c>
    </row>
    <row r="360" spans="1:4" x14ac:dyDescent="0.2">
      <c r="A360" t="s">
        <v>100</v>
      </c>
      <c r="B360">
        <v>0.55530000000000002</v>
      </c>
      <c r="C360">
        <v>14.644</v>
      </c>
      <c r="D360">
        <v>3.7999999999999999E-2</v>
      </c>
    </row>
    <row r="361" spans="1:4" x14ac:dyDescent="0.2">
      <c r="A361" t="s">
        <v>101</v>
      </c>
      <c r="B361">
        <v>-8.9403000000000006</v>
      </c>
      <c r="C361">
        <v>14.6416</v>
      </c>
      <c r="D361">
        <v>-0.61099999999999999</v>
      </c>
    </row>
    <row r="364" spans="1:4" x14ac:dyDescent="0.2">
      <c r="A364" t="s">
        <v>58</v>
      </c>
    </row>
    <row r="366" spans="1:4" x14ac:dyDescent="0.2">
      <c r="A366" t="s">
        <v>0</v>
      </c>
    </row>
    <row r="368" spans="1:4" x14ac:dyDescent="0.2">
      <c r="A368" t="s">
        <v>1</v>
      </c>
    </row>
    <row r="369" spans="1:6" x14ac:dyDescent="0.2">
      <c r="A369" t="s">
        <v>57</v>
      </c>
    </row>
    <row r="370" spans="1:6" x14ac:dyDescent="0.2">
      <c r="A370" t="s">
        <v>3</v>
      </c>
    </row>
    <row r="372" spans="1:6" x14ac:dyDescent="0.2">
      <c r="A372" t="s">
        <v>4</v>
      </c>
    </row>
    <row r="373" spans="1:6" x14ac:dyDescent="0.2">
      <c r="A373" t="s">
        <v>5</v>
      </c>
    </row>
    <row r="374" spans="1:6" x14ac:dyDescent="0.2">
      <c r="A374" t="s">
        <v>15</v>
      </c>
    </row>
    <row r="376" spans="1:6" x14ac:dyDescent="0.2">
      <c r="B376" t="s">
        <v>23</v>
      </c>
      <c r="C376" t="s">
        <v>26</v>
      </c>
      <c r="D376" t="s">
        <v>27</v>
      </c>
      <c r="E376" t="s">
        <v>28</v>
      </c>
    </row>
    <row r="377" spans="1:6" x14ac:dyDescent="0.2">
      <c r="A377" t="s">
        <v>30</v>
      </c>
      <c r="B377">
        <v>6</v>
      </c>
      <c r="C377">
        <v>8.9376599999999993</v>
      </c>
      <c r="D377">
        <v>24.136759999999999</v>
      </c>
      <c r="E377" s="1">
        <v>2.693603E-7</v>
      </c>
    </row>
    <row r="380" spans="1:6" x14ac:dyDescent="0.2">
      <c r="A380" t="s">
        <v>7</v>
      </c>
    </row>
    <row r="381" spans="1:6" x14ac:dyDescent="0.2">
      <c r="A381" t="s">
        <v>5</v>
      </c>
    </row>
    <row r="382" spans="1:6" x14ac:dyDescent="0.2">
      <c r="B382" t="s">
        <v>23</v>
      </c>
      <c r="C382" t="s">
        <v>26</v>
      </c>
      <c r="D382" t="s">
        <v>27</v>
      </c>
      <c r="E382" t="s">
        <v>28</v>
      </c>
    </row>
    <row r="383" spans="1:6" x14ac:dyDescent="0.2">
      <c r="A383" t="s">
        <v>102</v>
      </c>
      <c r="B383">
        <v>2</v>
      </c>
      <c r="C383">
        <v>3.6589999999999998</v>
      </c>
      <c r="D383">
        <v>9.0820000000000007</v>
      </c>
      <c r="E383">
        <v>2.2000000000000001E-4</v>
      </c>
      <c r="F383" t="s">
        <v>40</v>
      </c>
    </row>
    <row r="384" spans="1:6" x14ac:dyDescent="0.2">
      <c r="A384" t="s">
        <v>103</v>
      </c>
      <c r="B384">
        <v>2</v>
      </c>
      <c r="C384">
        <v>2.6059999999999999</v>
      </c>
      <c r="D384">
        <v>6.3630000000000004</v>
      </c>
      <c r="E384">
        <v>2.4780000000000002E-3</v>
      </c>
      <c r="F384" t="s">
        <v>38</v>
      </c>
    </row>
    <row r="385" spans="1:6" x14ac:dyDescent="0.2">
      <c r="A385" t="s">
        <v>104</v>
      </c>
      <c r="B385">
        <v>2</v>
      </c>
      <c r="C385">
        <v>3.1469999999999998</v>
      </c>
      <c r="D385">
        <v>7.75</v>
      </c>
      <c r="E385">
        <v>7.1199999999999996E-4</v>
      </c>
      <c r="F385" t="s">
        <v>40</v>
      </c>
    </row>
    <row r="386" spans="1:6" x14ac:dyDescent="0.2">
      <c r="A386" t="s">
        <v>8</v>
      </c>
    </row>
    <row r="387" spans="1:6" x14ac:dyDescent="0.2">
      <c r="A387" t="s">
        <v>9</v>
      </c>
    </row>
    <row r="390" spans="1:6" x14ac:dyDescent="0.2">
      <c r="A390" t="s">
        <v>54</v>
      </c>
    </row>
    <row r="391" spans="1:6" x14ac:dyDescent="0.2">
      <c r="A391" t="s">
        <v>55</v>
      </c>
    </row>
    <row r="392" spans="1:6" x14ac:dyDescent="0.2">
      <c r="B392" t="s">
        <v>59</v>
      </c>
      <c r="C392" t="s">
        <v>60</v>
      </c>
      <c r="D392" t="s">
        <v>61</v>
      </c>
    </row>
    <row r="393" spans="1:6" x14ac:dyDescent="0.2">
      <c r="A393" t="s">
        <v>62</v>
      </c>
      <c r="B393">
        <v>-1.7839</v>
      </c>
      <c r="C393">
        <v>0.29680000000000001</v>
      </c>
      <c r="D393">
        <v>-6.01</v>
      </c>
    </row>
    <row r="394" spans="1:6" x14ac:dyDescent="0.2">
      <c r="A394" t="s">
        <v>105</v>
      </c>
      <c r="B394">
        <v>-1.3772</v>
      </c>
      <c r="C394">
        <v>0.69099999999999995</v>
      </c>
      <c r="D394">
        <v>-1.9930000000000001</v>
      </c>
    </row>
    <row r="395" spans="1:6" x14ac:dyDescent="0.2">
      <c r="A395" t="s">
        <v>106</v>
      </c>
      <c r="B395">
        <v>-2.0989</v>
      </c>
      <c r="C395">
        <v>0.75760000000000005</v>
      </c>
      <c r="D395">
        <v>-2.7709999999999999</v>
      </c>
    </row>
    <row r="396" spans="1:6" x14ac:dyDescent="0.2">
      <c r="A396" t="s">
        <v>107</v>
      </c>
      <c r="B396">
        <v>0.1537</v>
      </c>
      <c r="C396">
        <v>0.27200000000000002</v>
      </c>
      <c r="D396">
        <v>0.56499999999999995</v>
      </c>
    </row>
    <row r="397" spans="1:6" x14ac:dyDescent="0.2">
      <c r="A397" t="s">
        <v>108</v>
      </c>
      <c r="B397">
        <v>-1.613</v>
      </c>
      <c r="C397">
        <v>0.52649999999999997</v>
      </c>
      <c r="D397">
        <v>-3.0640000000000001</v>
      </c>
    </row>
    <row r="398" spans="1:6" x14ac:dyDescent="0.2">
      <c r="A398" t="s">
        <v>109</v>
      </c>
      <c r="B398">
        <v>0.25800000000000001</v>
      </c>
      <c r="C398">
        <v>0.78290000000000004</v>
      </c>
      <c r="D398">
        <v>0.33</v>
      </c>
    </row>
    <row r="399" spans="1:6" x14ac:dyDescent="0.2">
      <c r="A399" t="s">
        <v>110</v>
      </c>
      <c r="B399">
        <v>2.5204</v>
      </c>
      <c r="C399">
        <v>0.78790000000000004</v>
      </c>
      <c r="D399">
        <v>3.1989999999999998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נטלי שמחייב</dc:creator>
  <cp:lastModifiedBy>נטלי שמחייב</cp:lastModifiedBy>
  <dcterms:created xsi:type="dcterms:W3CDTF">2021-03-04T17:02:32Z</dcterms:created>
  <dcterms:modified xsi:type="dcterms:W3CDTF">2021-04-18T18:22:07Z</dcterms:modified>
</cp:coreProperties>
</file>